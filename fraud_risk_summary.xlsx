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E30149A-6062-4ED8-95BC-AB11F01CD229}" xr6:coauthVersionLast="47" xr6:coauthVersionMax="47" xr10:uidLastSave="{00000000-0000-0000-0000-000000000000}"/>
  <bookViews>
    <workbookView xWindow="-110" yWindow="-110" windowWidth="19420" windowHeight="10300"/>
  </bookViews>
  <sheets>
    <sheet name="fraud detection data" sheetId="1" r:id="rId1"/>
  </sheets>
  <calcPr calcId="0"/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<sst xmlns="http://schemas.openxmlformats.org/spreadsheetml/2006/main" count="90" uniqueCount="31">
  <si>
    <t>transaction_id</t>
  </si>
  <si>
    <t>nameDest</t>
  </si>
  <si>
    <t>amount</t>
  </si>
  <si>
    <t>step</t>
  </si>
  <si>
    <t>flag_type</t>
  </si>
  <si>
    <t>C427931869</t>
  </si>
  <si>
    <t>High Velocity</t>
  </si>
  <si>
    <t>C2006081398</t>
  </si>
  <si>
    <t>C1237409088</t>
  </si>
  <si>
    <t>C77788011</t>
  </si>
  <si>
    <t>C1304812371</t>
  </si>
  <si>
    <t>C210874679</t>
  </si>
  <si>
    <t>C1725523273</t>
  </si>
  <si>
    <t>C964926377</t>
  </si>
  <si>
    <t>C211702543</t>
  </si>
  <si>
    <t>C17756959</t>
  </si>
  <si>
    <t>C1411451832</t>
  </si>
  <si>
    <t>C1929757266</t>
  </si>
  <si>
    <t>C1297538639</t>
  </si>
  <si>
    <t>C1306012510</t>
  </si>
  <si>
    <t>C744634618</t>
  </si>
  <si>
    <t>C322328532</t>
  </si>
  <si>
    <t>C404488836</t>
  </si>
  <si>
    <t>C1401606707</t>
  </si>
  <si>
    <t>C166291905</t>
  </si>
  <si>
    <t>C945409829</t>
  </si>
  <si>
    <t xml:space="preserve">High Value Anomaly count: </t>
  </si>
  <si>
    <t xml:space="preserve">High Velocity count: </t>
  </si>
  <si>
    <t xml:space="preserve">Repeated Amount count: </t>
  </si>
  <si>
    <t xml:space="preserve">Total flagged value: </t>
  </si>
  <si>
    <t xml:space="preserve">Total flagged transactions: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</si>
</sst>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1" formatCode="_-[$₦-470]* #,##0.00_-;\-[$₦-470]* #,##0.00_-;_-[$₦-470]* &quot;-&quot;??_-;_-@_-"/>
    <numFmt numFmtId="175" formatCode="_-[$₦-471]\ * #,##0.00_-;\-[$₦-471]\ * #,##0.00_-;_-[$₦-471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71" fontId="0" fillId="0" borderId="0" xfId="0" applyNumberFormat="1"/>
    <xf numFmtId="17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G3" sqref="G3"/>
    </sheetView>
  </sheetViews>
  <sheetFormatPr defaultRowHeight="14.5" x14ac:dyDescent="0.35"/>
  <cols>
    <col min="1" max="1" width="12.7265625" bestFit="1" customWidth="1"/>
    <col min="2" max="2" width="11.90625" bestFit="1" customWidth="1"/>
    <col min="3" max="3" width="15.6328125" style="3" bestFit="1" customWidth="1"/>
    <col min="7" max="7" width="22.81640625" customWidth="1"/>
    <col min="8" max="8" width="14.90625" bestFit="1" customWidth="1"/>
  </cols>
  <sheetData>
    <row r="1" spans="1:8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8" x14ac:dyDescent="0.35">
      <c r="A2">
        <v>687</v>
      </c>
      <c r="B2" t="s">
        <v>5</v>
      </c>
      <c r="C2" s="3">
        <v>34099.160000000003</v>
      </c>
      <c r="D2">
        <v>10</v>
      </c>
      <c r="E2" t="s">
        <v>6</v>
      </c>
      <c r="G2" s="1" t="s">
        <v>30</v>
      </c>
      <c r="H2">
        <f>COUNTA(A2:A41)</f>
        <v>40</v>
      </c>
    </row>
    <row r="3" spans="1:8" x14ac:dyDescent="0.35">
      <c r="A3">
        <v>753</v>
      </c>
      <c r="B3" t="s">
        <v>5</v>
      </c>
      <c r="C3" s="3">
        <v>418546.14</v>
      </c>
      <c r="D3">
        <v>10</v>
      </c>
      <c r="E3" t="s">
        <v>6</v>
      </c>
      <c r="G3" s="1" t="s">
        <v>26</v>
      </c>
      <c r="H3">
        <f>COUNTIF(E:E,"High Value Anomaly")</f>
        <v>0</v>
      </c>
    </row>
    <row r="4" spans="1:8" x14ac:dyDescent="0.35">
      <c r="A4">
        <v>861</v>
      </c>
      <c r="B4" t="s">
        <v>7</v>
      </c>
      <c r="C4" s="3">
        <v>274174.55</v>
      </c>
      <c r="D4">
        <v>8</v>
      </c>
      <c r="E4" t="s">
        <v>6</v>
      </c>
      <c r="G4" s="1" t="s">
        <v>27</v>
      </c>
      <c r="H4">
        <f>COUNTIF(E:E,"High Velocity")</f>
        <v>40</v>
      </c>
    </row>
    <row r="5" spans="1:8" x14ac:dyDescent="0.35">
      <c r="A5">
        <v>1073</v>
      </c>
      <c r="B5" t="s">
        <v>7</v>
      </c>
      <c r="C5" s="3">
        <v>109949.12</v>
      </c>
      <c r="D5">
        <v>8</v>
      </c>
      <c r="E5" t="s">
        <v>6</v>
      </c>
      <c r="G5" s="1" t="s">
        <v>28</v>
      </c>
      <c r="H5">
        <f>COUNTIF(E:E,"Repeated Amount")</f>
        <v>0</v>
      </c>
    </row>
    <row r="6" spans="1:8" x14ac:dyDescent="0.35">
      <c r="A6">
        <v>3363</v>
      </c>
      <c r="B6" t="s">
        <v>8</v>
      </c>
      <c r="C6" s="3">
        <v>649942.92000000004</v>
      </c>
      <c r="D6">
        <v>43</v>
      </c>
      <c r="E6" t="s">
        <v>6</v>
      </c>
      <c r="G6" s="1" t="s">
        <v>29</v>
      </c>
      <c r="H6" s="2">
        <f>SUM(C:C)</f>
        <v>30089960.130000003</v>
      </c>
    </row>
    <row r="7" spans="1:8" x14ac:dyDescent="0.35">
      <c r="A7">
        <v>3579</v>
      </c>
      <c r="B7" t="s">
        <v>8</v>
      </c>
      <c r="C7" s="3">
        <v>43136.98</v>
      </c>
      <c r="D7">
        <v>43</v>
      </c>
      <c r="E7" t="s">
        <v>6</v>
      </c>
    </row>
    <row r="8" spans="1:8" x14ac:dyDescent="0.35">
      <c r="A8">
        <v>4570</v>
      </c>
      <c r="B8" t="s">
        <v>9</v>
      </c>
      <c r="C8" s="3">
        <v>153757.12</v>
      </c>
      <c r="D8">
        <v>48</v>
      </c>
      <c r="E8" t="s">
        <v>6</v>
      </c>
    </row>
    <row r="9" spans="1:8" x14ac:dyDescent="0.35">
      <c r="A9">
        <v>4739</v>
      </c>
      <c r="B9" t="s">
        <v>10</v>
      </c>
      <c r="C9" s="3">
        <v>104299.04</v>
      </c>
      <c r="D9">
        <v>48</v>
      </c>
      <c r="E9" t="s">
        <v>6</v>
      </c>
    </row>
    <row r="10" spans="1:8" x14ac:dyDescent="0.35">
      <c r="A10">
        <v>5000</v>
      </c>
      <c r="B10" t="s">
        <v>10</v>
      </c>
      <c r="C10" s="3">
        <v>152999.41</v>
      </c>
      <c r="D10">
        <v>48</v>
      </c>
      <c r="E10" t="s">
        <v>6</v>
      </c>
    </row>
    <row r="11" spans="1:8" x14ac:dyDescent="0.35">
      <c r="A11">
        <v>5006</v>
      </c>
      <c r="B11" t="s">
        <v>11</v>
      </c>
      <c r="C11" s="3">
        <v>4060.99</v>
      </c>
      <c r="D11">
        <v>48</v>
      </c>
      <c r="E11" t="s">
        <v>6</v>
      </c>
    </row>
    <row r="12" spans="1:8" x14ac:dyDescent="0.35">
      <c r="A12">
        <v>5048</v>
      </c>
      <c r="B12" t="s">
        <v>12</v>
      </c>
      <c r="C12" s="3">
        <v>107377.46</v>
      </c>
      <c r="D12">
        <v>48</v>
      </c>
      <c r="E12" t="s">
        <v>6</v>
      </c>
    </row>
    <row r="13" spans="1:8" x14ac:dyDescent="0.35">
      <c r="A13">
        <v>5298</v>
      </c>
      <c r="B13" t="s">
        <v>13</v>
      </c>
      <c r="C13" s="3">
        <v>233462.7</v>
      </c>
      <c r="D13">
        <v>48</v>
      </c>
      <c r="E13" t="s">
        <v>6</v>
      </c>
    </row>
    <row r="14" spans="1:8" x14ac:dyDescent="0.35">
      <c r="A14">
        <v>5372</v>
      </c>
      <c r="B14" t="s">
        <v>9</v>
      </c>
      <c r="C14" s="3">
        <v>236596.7</v>
      </c>
      <c r="D14">
        <v>48</v>
      </c>
      <c r="E14" t="s">
        <v>6</v>
      </c>
    </row>
    <row r="15" spans="1:8" x14ac:dyDescent="0.35">
      <c r="A15">
        <v>5440</v>
      </c>
      <c r="B15" t="s">
        <v>12</v>
      </c>
      <c r="C15" s="3">
        <v>236949.99</v>
      </c>
      <c r="D15">
        <v>48</v>
      </c>
      <c r="E15" t="s">
        <v>6</v>
      </c>
    </row>
    <row r="16" spans="1:8" x14ac:dyDescent="0.35">
      <c r="A16">
        <v>5836</v>
      </c>
      <c r="B16" t="s">
        <v>13</v>
      </c>
      <c r="C16" s="3">
        <v>2623.66</v>
      </c>
      <c r="D16">
        <v>48</v>
      </c>
      <c r="E16" t="s">
        <v>6</v>
      </c>
    </row>
    <row r="17" spans="1:5" x14ac:dyDescent="0.35">
      <c r="A17">
        <v>5955</v>
      </c>
      <c r="B17" t="s">
        <v>11</v>
      </c>
      <c r="C17" s="3">
        <v>4225.22</v>
      </c>
      <c r="D17">
        <v>48</v>
      </c>
      <c r="E17" t="s">
        <v>6</v>
      </c>
    </row>
    <row r="18" spans="1:5" x14ac:dyDescent="0.35">
      <c r="A18">
        <v>6329</v>
      </c>
      <c r="B18" t="s">
        <v>14</v>
      </c>
      <c r="C18" s="3">
        <v>72082.16</v>
      </c>
      <c r="D18">
        <v>94</v>
      </c>
      <c r="E18" t="s">
        <v>6</v>
      </c>
    </row>
    <row r="19" spans="1:5" x14ac:dyDescent="0.35">
      <c r="A19">
        <v>7231</v>
      </c>
      <c r="B19" t="s">
        <v>15</v>
      </c>
      <c r="C19" s="3">
        <v>336951</v>
      </c>
      <c r="D19">
        <v>94</v>
      </c>
      <c r="E19" t="s">
        <v>6</v>
      </c>
    </row>
    <row r="20" spans="1:5" x14ac:dyDescent="0.35">
      <c r="A20">
        <v>7355</v>
      </c>
      <c r="B20" t="s">
        <v>16</v>
      </c>
      <c r="C20" s="3">
        <v>3572499.78</v>
      </c>
      <c r="D20">
        <v>95</v>
      </c>
      <c r="E20" t="s">
        <v>6</v>
      </c>
    </row>
    <row r="21" spans="1:5" x14ac:dyDescent="0.35">
      <c r="A21">
        <v>7694</v>
      </c>
      <c r="B21" t="s">
        <v>15</v>
      </c>
      <c r="C21" s="3">
        <v>55033.11</v>
      </c>
      <c r="D21">
        <v>94</v>
      </c>
      <c r="E21" t="s">
        <v>6</v>
      </c>
    </row>
    <row r="22" spans="1:5" x14ac:dyDescent="0.35">
      <c r="A22">
        <v>7826</v>
      </c>
      <c r="B22" t="s">
        <v>16</v>
      </c>
      <c r="C22" s="3">
        <v>67815.070000000007</v>
      </c>
      <c r="D22">
        <v>95</v>
      </c>
      <c r="E22" t="s">
        <v>6</v>
      </c>
    </row>
    <row r="23" spans="1:5" x14ac:dyDescent="0.35">
      <c r="A23">
        <v>7909</v>
      </c>
      <c r="B23" t="s">
        <v>14</v>
      </c>
      <c r="C23" s="3">
        <v>168514.7</v>
      </c>
      <c r="D23">
        <v>94</v>
      </c>
      <c r="E23" t="s">
        <v>6</v>
      </c>
    </row>
    <row r="24" spans="1:5" x14ac:dyDescent="0.35">
      <c r="A24">
        <v>8218</v>
      </c>
      <c r="B24" t="s">
        <v>17</v>
      </c>
      <c r="C24" s="3">
        <v>28646.54</v>
      </c>
      <c r="D24">
        <v>96</v>
      </c>
      <c r="E24" t="s">
        <v>6</v>
      </c>
    </row>
    <row r="25" spans="1:5" x14ac:dyDescent="0.35">
      <c r="A25">
        <v>8221</v>
      </c>
      <c r="B25" t="s">
        <v>18</v>
      </c>
      <c r="C25" s="3">
        <v>1301.8</v>
      </c>
      <c r="D25">
        <v>96</v>
      </c>
      <c r="E25" t="s">
        <v>6</v>
      </c>
    </row>
    <row r="26" spans="1:5" x14ac:dyDescent="0.35">
      <c r="A26">
        <v>8336</v>
      </c>
      <c r="B26" t="s">
        <v>18</v>
      </c>
      <c r="C26" s="3">
        <v>14195.25</v>
      </c>
      <c r="D26">
        <v>96</v>
      </c>
      <c r="E26" t="s">
        <v>6</v>
      </c>
    </row>
    <row r="27" spans="1:5" x14ac:dyDescent="0.35">
      <c r="A27">
        <v>8505</v>
      </c>
      <c r="B27" t="s">
        <v>19</v>
      </c>
      <c r="C27" s="3">
        <v>104050.14</v>
      </c>
      <c r="D27">
        <v>96</v>
      </c>
      <c r="E27" t="s">
        <v>6</v>
      </c>
    </row>
    <row r="28" spans="1:5" x14ac:dyDescent="0.35">
      <c r="A28">
        <v>9027</v>
      </c>
      <c r="B28" t="s">
        <v>17</v>
      </c>
      <c r="C28" s="3">
        <v>6185.92</v>
      </c>
      <c r="D28">
        <v>96</v>
      </c>
      <c r="E28" t="s">
        <v>6</v>
      </c>
    </row>
    <row r="29" spans="1:5" x14ac:dyDescent="0.35">
      <c r="A29">
        <v>9070</v>
      </c>
      <c r="B29" t="s">
        <v>19</v>
      </c>
      <c r="C29" s="3">
        <v>91507.5</v>
      </c>
      <c r="D29">
        <v>96</v>
      </c>
      <c r="E29" t="s">
        <v>6</v>
      </c>
    </row>
    <row r="30" spans="1:5" x14ac:dyDescent="0.35">
      <c r="A30">
        <v>9154</v>
      </c>
      <c r="B30" t="s">
        <v>20</v>
      </c>
      <c r="C30" s="3">
        <v>57997.09</v>
      </c>
      <c r="D30">
        <v>96</v>
      </c>
      <c r="E30" t="s">
        <v>6</v>
      </c>
    </row>
    <row r="31" spans="1:5" x14ac:dyDescent="0.35">
      <c r="A31">
        <v>9163</v>
      </c>
      <c r="B31" t="s">
        <v>20</v>
      </c>
      <c r="C31" s="3">
        <v>1484004.46</v>
      </c>
      <c r="D31">
        <v>96</v>
      </c>
      <c r="E31" t="s">
        <v>6</v>
      </c>
    </row>
    <row r="32" spans="1:5" x14ac:dyDescent="0.35">
      <c r="A32">
        <v>9218</v>
      </c>
      <c r="B32" t="s">
        <v>21</v>
      </c>
      <c r="C32" s="3">
        <v>31361.77</v>
      </c>
      <c r="D32">
        <v>119</v>
      </c>
      <c r="E32" t="s">
        <v>6</v>
      </c>
    </row>
    <row r="33" spans="1:5" x14ac:dyDescent="0.35">
      <c r="A33">
        <v>9457</v>
      </c>
      <c r="B33" t="s">
        <v>21</v>
      </c>
      <c r="C33" s="3">
        <v>177973.35</v>
      </c>
      <c r="D33">
        <v>119</v>
      </c>
      <c r="E33" t="s">
        <v>6</v>
      </c>
    </row>
    <row r="34" spans="1:5" x14ac:dyDescent="0.35">
      <c r="A34">
        <v>15041</v>
      </c>
      <c r="B34" t="s">
        <v>22</v>
      </c>
      <c r="C34" s="3">
        <v>141652.48000000001</v>
      </c>
      <c r="D34">
        <v>186</v>
      </c>
      <c r="E34" t="s">
        <v>6</v>
      </c>
    </row>
    <row r="35" spans="1:5" x14ac:dyDescent="0.35">
      <c r="A35">
        <v>15675</v>
      </c>
      <c r="B35" t="s">
        <v>22</v>
      </c>
      <c r="C35" s="3">
        <v>249179.14</v>
      </c>
      <c r="D35">
        <v>186</v>
      </c>
      <c r="E35" t="s">
        <v>6</v>
      </c>
    </row>
    <row r="36" spans="1:5" x14ac:dyDescent="0.35">
      <c r="A36">
        <v>24552</v>
      </c>
      <c r="B36" t="s">
        <v>23</v>
      </c>
      <c r="C36" s="3">
        <v>10000000</v>
      </c>
      <c r="D36">
        <v>304</v>
      </c>
      <c r="E36" t="s">
        <v>6</v>
      </c>
    </row>
    <row r="37" spans="1:5" x14ac:dyDescent="0.35">
      <c r="A37">
        <v>24698</v>
      </c>
      <c r="B37" t="s">
        <v>23</v>
      </c>
      <c r="C37" s="3">
        <v>10000000</v>
      </c>
      <c r="D37">
        <v>304</v>
      </c>
      <c r="E37" t="s">
        <v>6</v>
      </c>
    </row>
    <row r="38" spans="1:5" x14ac:dyDescent="0.35">
      <c r="A38">
        <v>44273</v>
      </c>
      <c r="B38" t="s">
        <v>24</v>
      </c>
      <c r="C38" s="3">
        <v>66933.7</v>
      </c>
      <c r="D38">
        <v>546</v>
      </c>
      <c r="E38" t="s">
        <v>6</v>
      </c>
    </row>
    <row r="39" spans="1:5" x14ac:dyDescent="0.35">
      <c r="A39">
        <v>44400</v>
      </c>
      <c r="B39" t="s">
        <v>25</v>
      </c>
      <c r="C39" s="3">
        <v>54386.11</v>
      </c>
      <c r="D39">
        <v>544</v>
      </c>
      <c r="E39" t="s">
        <v>6</v>
      </c>
    </row>
    <row r="40" spans="1:5" x14ac:dyDescent="0.35">
      <c r="A40">
        <v>45327</v>
      </c>
      <c r="B40" t="s">
        <v>25</v>
      </c>
      <c r="C40" s="3">
        <v>49656.42</v>
      </c>
      <c r="D40">
        <v>544</v>
      </c>
      <c r="E40" t="s">
        <v>6</v>
      </c>
    </row>
    <row r="41" spans="1:5" x14ac:dyDescent="0.35">
      <c r="A41">
        <v>45426</v>
      </c>
      <c r="B41" t="s">
        <v>24</v>
      </c>
      <c r="C41" s="3">
        <v>491831.48</v>
      </c>
      <c r="D41">
        <v>546</v>
      </c>
      <c r="E41" t="s">
        <v>6</v>
      </c>
    </row>
  </sheetData>
  <conditionalFormatting sqref="C1:C1048576">
    <cfRule type="top10" dxfId="1" priority="1" percent="1" rank="2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 detection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2026-09-11T00:32:35Z</dcterms:created>
  <dcterms:modified xsi:type="dcterms:W3CDTF">2026-09-11T00:32:35Z</dcterms:modified>
</cp:coreProperties>
</file>